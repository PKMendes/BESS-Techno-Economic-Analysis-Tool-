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fvme\PycharmProjects\bess financial feasibility multiyears_to_publish\input data\"/>
    </mc:Choice>
  </mc:AlternateContent>
  <xr:revisionPtr revIDLastSave="0" documentId="13_ncr:1_{C72535BE-2869-4031-8D2E-E403F23079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ttery Specifications" sheetId="2" r:id="rId1"/>
    <sheet name="Degradation Curve" sheetId="5" r:id="rId2"/>
    <sheet name="OPEX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C28" i="6" l="1"/>
  <c r="B17" i="6" s="1"/>
  <c r="B3" i="6" l="1"/>
  <c r="B4" i="6"/>
  <c r="B5" i="6"/>
  <c r="B6" i="6"/>
  <c r="B7" i="6"/>
  <c r="B8" i="6"/>
  <c r="B9" i="6"/>
  <c r="B10" i="6"/>
  <c r="B2" i="6"/>
  <c r="B11" i="6"/>
  <c r="B12" i="6"/>
  <c r="B13" i="6"/>
  <c r="B14" i="6"/>
  <c r="B15" i="6"/>
  <c r="B16" i="6"/>
  <c r="B3" i="5"/>
</calcChain>
</file>

<file path=xl/sharedStrings.xml><?xml version="1.0" encoding="utf-8"?>
<sst xmlns="http://schemas.openxmlformats.org/spreadsheetml/2006/main" count="112" uniqueCount="75">
  <si>
    <t>BATTERY SPECIFICATIONS</t>
  </si>
  <si>
    <t>Fill in the yellow cells with data from your battery manufacturer datasheet</t>
  </si>
  <si>
    <t>Parameter</t>
  </si>
  <si>
    <t>Value</t>
  </si>
  <si>
    <t>Unit</t>
  </si>
  <si>
    <t>Manufacturer</t>
  </si>
  <si>
    <t>text</t>
  </si>
  <si>
    <t>MWh</t>
  </si>
  <si>
    <t>Nominal Power</t>
  </si>
  <si>
    <t>MW</t>
  </si>
  <si>
    <t>Nominal Voltage</t>
  </si>
  <si>
    <t>V</t>
  </si>
  <si>
    <t>Charging Efficiency</t>
  </si>
  <si>
    <t>%</t>
  </si>
  <si>
    <t>Discharging Efficiency</t>
  </si>
  <si>
    <t>Minimum SOC</t>
  </si>
  <si>
    <t>Maximum SOC</t>
  </si>
  <si>
    <t>Warranty Period</t>
  </si>
  <si>
    <t>years</t>
  </si>
  <si>
    <t>Warranty Cycles</t>
  </si>
  <si>
    <t>cycles</t>
  </si>
  <si>
    <t>% of nominal</t>
  </si>
  <si>
    <t>Operating Temperature Min</t>
  </si>
  <si>
    <t>20</t>
  </si>
  <si>
    <t>°C</t>
  </si>
  <si>
    <t>Operating Temperature Max</t>
  </si>
  <si>
    <t>25</t>
  </si>
  <si>
    <t>Datasheet Date</t>
  </si>
  <si>
    <t>YYYY-MM-DD</t>
  </si>
  <si>
    <t>Datasheet Version</t>
  </si>
  <si>
    <t>Final Lifetime Performance  (As per RFP)</t>
  </si>
  <si>
    <t>Nameplate Capacity (MWh)</t>
  </si>
  <si>
    <t>RTE (%)</t>
  </si>
  <si>
    <t>SOH (%)</t>
  </si>
  <si>
    <t>Aux Consumption Total (kWh)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</si>
  <si>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</si>
  <si>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</si>
  <si>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</si>
  <si>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</si>
  <si>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</si>
  <si>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</si>
  <si>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</si>
  <si>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</si>
  <si>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</si>
  <si>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</si>
  <si>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</si>
  <si>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</si>
  <si>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</si>
  <si>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</si>
  <si>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</si>
  <si>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</si>
  <si>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</si>
  <si>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</si>
  <si>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</si>
  <si>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</si>
  <si>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</si>
  <si>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</si>
  <si>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</si>
  <si>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</si>
  <si>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</si>
  <si>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</si>
  <si>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 xml:space="preserve">Aux Consumption Total </t>
  </si>
  <si>
    <t>kWh</t>
  </si>
  <si>
    <t>Warranty SOH Capacity</t>
  </si>
  <si>
    <t>CAPEX</t>
  </si>
  <si>
    <t>€</t>
  </si>
  <si>
    <t>SLA (€)</t>
  </si>
  <si>
    <t>Offer Number</t>
  </si>
  <si>
    <t>Max Cycles per day</t>
  </si>
  <si>
    <t>Round-trip Efficiency (RTE)</t>
  </si>
  <si>
    <t>Initial SOC</t>
  </si>
  <si>
    <t>Nominal Capacity</t>
  </si>
  <si>
    <t>180 for 4h</t>
  </si>
  <si>
    <t>230 for 2h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</si>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</sst>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0.0000"/>
  </numFmts>
  <fonts count="1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typ Text Light"/>
    </font>
    <font>
      <b/>
      <sz val="9"/>
      <color theme="0"/>
      <name val="Atyp Text Light"/>
    </font>
    <font>
      <sz val="9"/>
      <color theme="1"/>
      <name val="Atyp Text Light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0" fontId="9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10" fontId="9" fillId="5" borderId="1" xfId="1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1" xfId="0" applyFont="1" applyBorder="1"/>
    <xf numFmtId="0" fontId="10" fillId="0" borderId="1" xfId="0" applyFont="1" applyBorder="1"/>
    <xf numFmtId="10" fontId="0" fillId="0" borderId="0" xfId="1" applyNumberFormat="1" applyFont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wrapText="1"/>
    </xf>
    <xf numFmtId="165" fontId="0" fillId="0" borderId="0" xfId="1" applyNumberFormat="1" applyFont="1"/>
    <xf numFmtId="165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7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zoomScale="85" zoomScaleNormal="85" workbookViewId="0">
      <selection activeCell="G26" sqref="G26"/>
    </sheetView>
  </sheetViews>
  <sheetFormatPr defaultRowHeight="14.4"/>
  <cols>
    <col min="1" max="1" width="30" customWidth="1"/>
    <col min="2" max="2" width="25" customWidth="1"/>
    <col min="3" max="3" width="15" customWidth="1"/>
  </cols>
  <sheetData>
    <row r="1" spans="1:5" ht="18">
      <c r="A1" s="23" t="s">
        <v>0</v>
      </c>
      <c r="B1" s="24"/>
      <c r="C1" s="24"/>
    </row>
    <row r="2" spans="1:5">
      <c r="A2" s="25" t="s">
        <v>1</v>
      </c>
      <c r="B2" s="24"/>
      <c r="C2" s="24"/>
    </row>
    <row r="4" spans="1:5">
      <c r="A4" s="1" t="s">
        <v>2</v>
      </c>
      <c r="B4" s="1" t="s">
        <v>3</v>
      </c>
      <c r="C4" s="1" t="s">
        <v>4</v>
      </c>
    </row>
    <row r="5" spans="1:5">
      <c r="A5" s="2" t="s">
        <v>5</v>
      </c>
      <c r="B5" s="15"/>
      <c r="C5" s="3" t="s">
        <v>6</v>
      </c>
    </row>
    <row r="6" spans="1:5">
      <c r="A6" s="2" t="s">
        <v>67</v>
      </c>
      <c r="B6" s="15"/>
      <c r="C6" s="3" t="s">
        <v>6</v>
      </c>
    </row>
    <row r="7" spans="1:5">
      <c r="A7" s="2"/>
      <c r="B7" s="16"/>
      <c r="C7" s="3"/>
    </row>
    <row r="8" spans="1:5" ht="28.2" customHeight="1">
      <c r="A8" s="18" t="s">
        <v>71</v>
      </c>
      <c r="B8" s="15">
        <v>200</v>
      </c>
      <c r="C8" s="3" t="s">
        <v>7</v>
      </c>
      <c r="E8" s="18"/>
    </row>
    <row r="9" spans="1:5">
      <c r="A9" s="2" t="s">
        <v>8</v>
      </c>
      <c r="B9" s="15">
        <v>50</v>
      </c>
      <c r="C9" s="3" t="s">
        <v>9</v>
      </c>
    </row>
    <row r="10" spans="1:5">
      <c r="A10" s="2" t="s">
        <v>10</v>
      </c>
      <c r="B10" s="15"/>
      <c r="C10" s="3" t="s">
        <v>11</v>
      </c>
    </row>
    <row r="11" spans="1:5">
      <c r="A11" s="2"/>
      <c r="B11" s="16"/>
      <c r="C11" s="3"/>
    </row>
    <row r="12" spans="1:5">
      <c r="A12" s="2" t="s">
        <v>12</v>
      </c>
      <c r="B12" s="15"/>
      <c r="C12" s="3" t="s">
        <v>13</v>
      </c>
    </row>
    <row r="13" spans="1:5">
      <c r="A13" s="2" t="s">
        <v>14</v>
      </c>
      <c r="B13" s="15"/>
      <c r="C13" s="3" t="s">
        <v>13</v>
      </c>
    </row>
    <row r="14" spans="1:5">
      <c r="A14" s="2" t="s">
        <v>69</v>
      </c>
      <c r="B14" s="15"/>
      <c r="C14" s="3" t="s">
        <v>13</v>
      </c>
    </row>
    <row r="15" spans="1:5">
      <c r="A15" s="2"/>
      <c r="B15" s="16"/>
      <c r="C15" s="3"/>
    </row>
    <row r="16" spans="1:5">
      <c r="A16" s="2" t="s">
        <v>70</v>
      </c>
      <c r="B16" s="15">
        <v>95</v>
      </c>
      <c r="C16" s="3" t="s">
        <v>13</v>
      </c>
    </row>
    <row r="17" spans="1:3">
      <c r="A17" s="2" t="s">
        <v>15</v>
      </c>
      <c r="B17" s="15">
        <v>0</v>
      </c>
      <c r="C17" s="3" t="s">
        <v>13</v>
      </c>
    </row>
    <row r="18" spans="1:3">
      <c r="A18" s="2" t="s">
        <v>16</v>
      </c>
      <c r="B18" s="15">
        <v>100</v>
      </c>
      <c r="C18" s="3" t="s">
        <v>13</v>
      </c>
    </row>
    <row r="19" spans="1:3">
      <c r="A19" s="2"/>
      <c r="B19" s="16"/>
      <c r="C19" s="3"/>
    </row>
    <row r="20" spans="1:3">
      <c r="A20" s="2" t="s">
        <v>17</v>
      </c>
      <c r="B20" s="15">
        <v>15</v>
      </c>
      <c r="C20" s="3" t="s">
        <v>18</v>
      </c>
    </row>
    <row r="21" spans="1:3">
      <c r="A21" s="2" t="s">
        <v>19</v>
      </c>
      <c r="B21" s="15">
        <v>11000</v>
      </c>
      <c r="C21" s="3" t="s">
        <v>20</v>
      </c>
    </row>
    <row r="22" spans="1:3">
      <c r="A22" s="13" t="s">
        <v>63</v>
      </c>
      <c r="B22" s="15"/>
      <c r="C22" s="3" t="s">
        <v>21</v>
      </c>
    </row>
    <row r="23" spans="1:3">
      <c r="A23" s="2" t="s">
        <v>68</v>
      </c>
      <c r="B23" s="15">
        <v>2</v>
      </c>
      <c r="C23" s="3" t="s">
        <v>20</v>
      </c>
    </row>
    <row r="24" spans="1:3">
      <c r="A24" s="2"/>
      <c r="B24" s="16"/>
      <c r="C24" s="3"/>
    </row>
    <row r="25" spans="1:3">
      <c r="A25" s="2" t="s">
        <v>22</v>
      </c>
      <c r="B25" s="15" t="s">
        <v>23</v>
      </c>
      <c r="C25" s="3" t="s">
        <v>24</v>
      </c>
    </row>
    <row r="26" spans="1:3">
      <c r="A26" s="2" t="s">
        <v>25</v>
      </c>
      <c r="B26" s="15" t="s">
        <v>26</v>
      </c>
      <c r="C26" s="3" t="s">
        <v>24</v>
      </c>
    </row>
    <row r="27" spans="1:3">
      <c r="A27" s="2"/>
      <c r="B27" s="16"/>
      <c r="C27" s="3"/>
    </row>
    <row r="28" spans="1:3">
      <c r="A28" s="12" t="s">
        <v>61</v>
      </c>
      <c r="B28" s="15">
        <v>961.76</v>
      </c>
      <c r="C28" s="3" t="s">
        <v>62</v>
      </c>
    </row>
    <row r="29" spans="1:3">
      <c r="A29" s="3"/>
      <c r="B29" s="16"/>
      <c r="C29" s="3"/>
    </row>
    <row r="30" spans="1:3">
      <c r="A30" s="2" t="s">
        <v>27</v>
      </c>
      <c r="B30" s="15"/>
      <c r="C30" s="3" t="s">
        <v>28</v>
      </c>
    </row>
    <row r="31" spans="1:3">
      <c r="A31" s="2" t="s">
        <v>29</v>
      </c>
      <c r="B31" s="15"/>
      <c r="C31" s="3" t="s">
        <v>6</v>
      </c>
    </row>
    <row r="32" spans="1:3">
      <c r="B32" s="17"/>
    </row>
    <row r="33" spans="1:5">
      <c r="A33" s="2" t="s">
        <v>64</v>
      </c>
      <c r="B33" s="15">
        <f>180*B8*10^3</f>
        <v>36000000</v>
      </c>
      <c r="C33" s="3" t="s">
        <v>65</v>
      </c>
      <c r="E33" t="s">
        <v>72</v>
      </c>
    </row>
    <row r="34" spans="1:5">
      <c r="B34" t="s">
        <v>74</v>
      </c>
      <c r="E34" t="s">
        <v>73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selection activeCell="A19" sqref="A19:E26"/>
    </sheetView>
  </sheetViews>
  <sheetFormatPr defaultRowHeight="14.4"/>
  <cols>
    <col min="1" max="1" width="20" customWidth="1"/>
    <col min="2" max="2" width="25" customWidth="1"/>
    <col min="3" max="3" width="18.109375" customWidth="1"/>
    <col min="4" max="4" width="14.5546875" customWidth="1"/>
    <col min="5" max="5" width="14.88671875" customWidth="1"/>
    <col min="8" max="8" width="11.21875" customWidth="1"/>
  </cols>
  <sheetData>
    <row r="1" spans="1:5">
      <c r="A1" s="26" t="s">
        <v>30</v>
      </c>
      <c r="B1" s="26"/>
      <c r="C1" s="26"/>
      <c r="D1" s="26"/>
      <c r="E1" s="26"/>
    </row>
    <row r="2" spans="1:5" ht="24">
      <c r="A2" s="4" t="s">
        <v>4</v>
      </c>
      <c r="B2" s="4" t="s">
        <v>31</v>
      </c>
      <c r="C2" s="4" t="s">
        <v>32</v>
      </c>
      <c r="D2" s="4" t="s">
        <v>33</v>
      </c>
      <c r="E2" s="4" t="s">
        <v>34</v>
      </c>
    </row>
    <row r="3" spans="1:5">
      <c r="A3" s="5" t="s">
        <v>35</v>
      </c>
      <c r="B3" s="5">
        <f>22*5.016</f>
        <v>110.352</v>
      </c>
      <c r="C3" s="21">
        <v>0.86086851120101848</v>
      </c>
      <c r="D3" s="6">
        <v>1</v>
      </c>
      <c r="E3" s="7">
        <v>961.76</v>
      </c>
    </row>
    <row r="4" spans="1:5">
      <c r="A4" s="5" t="s">
        <v>36</v>
      </c>
      <c r="B4" s="5">
        <v>0</v>
      </c>
      <c r="C4" s="21">
        <v>0.85807673137817564</v>
      </c>
      <c r="D4" s="6">
        <v>0.96150000000000002</v>
      </c>
      <c r="E4" s="7">
        <v>961.76</v>
      </c>
    </row>
    <row r="5" spans="1:5">
      <c r="A5" s="5" t="s">
        <v>37</v>
      </c>
      <c r="B5" s="5">
        <v>0</v>
      </c>
      <c r="C5" s="21">
        <v>0.85195678596961444</v>
      </c>
      <c r="D5" s="6">
        <v>0.9194</v>
      </c>
      <c r="E5" s="7">
        <v>961.76</v>
      </c>
    </row>
    <row r="6" spans="1:5">
      <c r="A6" s="5" t="s">
        <v>38</v>
      </c>
      <c r="B6" s="5">
        <v>0</v>
      </c>
      <c r="C6" s="21">
        <v>0.84847165001436042</v>
      </c>
      <c r="D6" s="6">
        <v>0.88470000000000004</v>
      </c>
      <c r="E6" s="7">
        <v>961.76</v>
      </c>
    </row>
    <row r="7" spans="1:5">
      <c r="A7" s="5" t="s">
        <v>39</v>
      </c>
      <c r="B7" s="5">
        <v>0</v>
      </c>
      <c r="C7" s="21">
        <v>0.84481410994934325</v>
      </c>
      <c r="D7" s="6">
        <v>0.85400000000000009</v>
      </c>
      <c r="E7" s="7">
        <v>961.76</v>
      </c>
    </row>
    <row r="8" spans="1:5">
      <c r="A8" s="5" t="s">
        <v>40</v>
      </c>
      <c r="B8" s="5">
        <v>0</v>
      </c>
      <c r="C8" s="21">
        <v>0.84068083653689196</v>
      </c>
      <c r="D8" s="6">
        <v>0.82590000000000008</v>
      </c>
      <c r="E8" s="7">
        <v>961.76</v>
      </c>
    </row>
    <row r="9" spans="1:5">
      <c r="A9" s="5" t="s">
        <v>41</v>
      </c>
      <c r="B9" s="5">
        <v>0</v>
      </c>
      <c r="C9" s="21">
        <v>0.83582536107142769</v>
      </c>
      <c r="D9" s="6">
        <v>0.79980000000000007</v>
      </c>
      <c r="E9" s="7">
        <v>961.76</v>
      </c>
    </row>
    <row r="10" spans="1:5">
      <c r="A10" s="5" t="s">
        <v>42</v>
      </c>
      <c r="B10" s="5">
        <v>0</v>
      </c>
      <c r="C10" s="21">
        <v>0.82914202865447562</v>
      </c>
      <c r="D10" s="6">
        <v>0.77529999999999999</v>
      </c>
      <c r="E10" s="7">
        <v>961.76</v>
      </c>
    </row>
    <row r="11" spans="1:5">
      <c r="A11" s="5" t="s">
        <v>43</v>
      </c>
      <c r="B11" s="5">
        <v>0</v>
      </c>
      <c r="C11" s="21">
        <v>0.82340695706759492</v>
      </c>
      <c r="D11" s="6">
        <v>0.752</v>
      </c>
      <c r="E11" s="7">
        <v>961.76</v>
      </c>
    </row>
    <row r="12" spans="1:5">
      <c r="A12" s="5" t="s">
        <v>44</v>
      </c>
      <c r="B12" s="5">
        <v>0</v>
      </c>
      <c r="C12" s="21">
        <v>0.81735622221502735</v>
      </c>
      <c r="D12" s="6">
        <v>0.7298</v>
      </c>
      <c r="E12" s="7">
        <v>961.76</v>
      </c>
    </row>
    <row r="13" spans="1:5">
      <c r="A13" s="5" t="s">
        <v>45</v>
      </c>
      <c r="B13" s="5">
        <v>0</v>
      </c>
      <c r="C13" s="21">
        <v>0.81148615786075151</v>
      </c>
      <c r="D13" s="6">
        <v>0.70849999999999991</v>
      </c>
      <c r="E13" s="7">
        <v>961.76</v>
      </c>
    </row>
    <row r="14" spans="1:5">
      <c r="A14" s="5" t="s">
        <v>46</v>
      </c>
      <c r="B14" s="5">
        <v>0</v>
      </c>
      <c r="C14" s="21">
        <v>0.80560218358830293</v>
      </c>
      <c r="D14" s="6">
        <v>0.68799999999999994</v>
      </c>
      <c r="E14" s="7">
        <v>961.76</v>
      </c>
    </row>
    <row r="15" spans="1:5">
      <c r="A15" s="5" t="s">
        <v>47</v>
      </c>
      <c r="B15" s="5">
        <v>0</v>
      </c>
      <c r="C15" s="21">
        <v>0.80003660656639086</v>
      </c>
      <c r="D15" s="6">
        <v>0.66819999999999991</v>
      </c>
      <c r="E15" s="7">
        <v>961.76</v>
      </c>
    </row>
    <row r="16" spans="1:5">
      <c r="A16" s="5" t="s">
        <v>48</v>
      </c>
      <c r="B16" s="5">
        <v>0</v>
      </c>
      <c r="C16" s="21">
        <v>0.79442067965839591</v>
      </c>
      <c r="D16" s="6">
        <v>0.64900000000000002</v>
      </c>
      <c r="E16" s="7">
        <v>961.76</v>
      </c>
    </row>
    <row r="17" spans="1:5">
      <c r="A17" s="5" t="s">
        <v>49</v>
      </c>
      <c r="B17" s="5">
        <v>0</v>
      </c>
      <c r="C17" s="21">
        <v>0.78891127848002529</v>
      </c>
      <c r="D17" s="6">
        <v>0.63029999999999997</v>
      </c>
      <c r="E17" s="7">
        <v>961.76</v>
      </c>
    </row>
    <row r="18" spans="1:5">
      <c r="A18" s="8" t="s">
        <v>50</v>
      </c>
      <c r="B18" s="8">
        <v>0</v>
      </c>
      <c r="C18" s="22">
        <v>0.78352478605060349</v>
      </c>
      <c r="D18" s="9">
        <v>0.61219999999999997</v>
      </c>
      <c r="E18" s="10">
        <v>961.76</v>
      </c>
    </row>
    <row r="19" spans="1:5">
      <c r="A19" s="11" t="s">
        <v>51</v>
      </c>
      <c r="B19" s="3"/>
      <c r="C19" s="3"/>
      <c r="D19" s="3"/>
      <c r="E19" s="3"/>
    </row>
    <row r="20" spans="1:5">
      <c r="A20" s="5" t="s">
        <v>52</v>
      </c>
      <c r="B20" s="3"/>
      <c r="C20" s="3"/>
      <c r="D20" s="3"/>
      <c r="E20" s="3"/>
    </row>
    <row r="21" spans="1:5">
      <c r="A21" s="5" t="s">
        <v>53</v>
      </c>
      <c r="B21" s="3"/>
      <c r="C21" s="3"/>
      <c r="D21" s="3"/>
      <c r="E21" s="3"/>
    </row>
    <row r="22" spans="1:5">
      <c r="A22" s="5" t="s">
        <v>54</v>
      </c>
      <c r="B22" s="3"/>
      <c r="C22" s="3"/>
      <c r="D22" s="3"/>
      <c r="E22" s="3"/>
    </row>
    <row r="23" spans="1:5">
      <c r="A23" s="5" t="s">
        <v>55</v>
      </c>
      <c r="B23" s="3"/>
      <c r="C23" s="3"/>
      <c r="D23" s="3"/>
      <c r="E23" s="3"/>
    </row>
    <row r="24" spans="1:5">
      <c r="A24" s="5" t="s">
        <v>56</v>
      </c>
      <c r="B24" s="3"/>
      <c r="C24" s="3"/>
      <c r="D24" s="3"/>
      <c r="E24" s="3"/>
    </row>
    <row r="25" spans="1:5">
      <c r="A25" s="5" t="s">
        <v>57</v>
      </c>
      <c r="B25" s="5"/>
      <c r="C25" s="5"/>
      <c r="D25" s="5"/>
      <c r="E25" s="5"/>
    </row>
    <row r="26" spans="1:5">
      <c r="A26" s="5" t="s">
        <v>58</v>
      </c>
      <c r="B26" s="5"/>
      <c r="C26" s="5"/>
      <c r="D26" s="5"/>
      <c r="E26" s="5"/>
    </row>
    <row r="27" spans="1:5">
      <c r="A27" s="5" t="s">
        <v>59</v>
      </c>
      <c r="B27" s="5"/>
      <c r="C27" s="5"/>
      <c r="D27" s="5"/>
      <c r="E27" s="5"/>
    </row>
    <row r="28" spans="1:5">
      <c r="A28" s="5" t="s">
        <v>60</v>
      </c>
      <c r="B28" s="5"/>
      <c r="C28" s="5"/>
      <c r="D28" s="5"/>
      <c r="E28" s="5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12F0-BE82-42D6-B787-FDDBD6C9C75A}">
  <dimension ref="A1:D32"/>
  <sheetViews>
    <sheetView workbookViewId="0">
      <selection activeCell="E38" sqref="E38"/>
    </sheetView>
  </sheetViews>
  <sheetFormatPr defaultRowHeight="14.4"/>
  <cols>
    <col min="1" max="1" width="9.88671875" customWidth="1"/>
    <col min="2" max="2" width="32.77734375" customWidth="1"/>
  </cols>
  <sheetData>
    <row r="1" spans="1:2">
      <c r="A1" s="4" t="s">
        <v>4</v>
      </c>
      <c r="B1" s="4" t="s">
        <v>66</v>
      </c>
    </row>
    <row r="2" spans="1:2">
      <c r="A2" s="5" t="s">
        <v>35</v>
      </c>
      <c r="B2" s="3">
        <f>$C$28</f>
        <v>720000</v>
      </c>
    </row>
    <row r="3" spans="1:2">
      <c r="A3" s="5" t="s">
        <v>36</v>
      </c>
      <c r="B3" s="3">
        <f t="shared" ref="B3:B17" si="0">$C$28</f>
        <v>720000</v>
      </c>
    </row>
    <row r="4" spans="1:2">
      <c r="A4" s="5" t="s">
        <v>37</v>
      </c>
      <c r="B4" s="3">
        <f t="shared" si="0"/>
        <v>720000</v>
      </c>
    </row>
    <row r="5" spans="1:2">
      <c r="A5" s="5" t="s">
        <v>38</v>
      </c>
      <c r="B5" s="3">
        <f t="shared" si="0"/>
        <v>720000</v>
      </c>
    </row>
    <row r="6" spans="1:2">
      <c r="A6" s="5" t="s">
        <v>39</v>
      </c>
      <c r="B6" s="3">
        <f t="shared" si="0"/>
        <v>720000</v>
      </c>
    </row>
    <row r="7" spans="1:2">
      <c r="A7" s="5" t="s">
        <v>40</v>
      </c>
      <c r="B7" s="3">
        <f t="shared" si="0"/>
        <v>720000</v>
      </c>
    </row>
    <row r="8" spans="1:2">
      <c r="A8" s="5" t="s">
        <v>41</v>
      </c>
      <c r="B8" s="3">
        <f t="shared" si="0"/>
        <v>720000</v>
      </c>
    </row>
    <row r="9" spans="1:2">
      <c r="A9" s="5" t="s">
        <v>42</v>
      </c>
      <c r="B9" s="3">
        <f t="shared" si="0"/>
        <v>720000</v>
      </c>
    </row>
    <row r="10" spans="1:2">
      <c r="A10" s="5" t="s">
        <v>43</v>
      </c>
      <c r="B10" s="3">
        <f t="shared" si="0"/>
        <v>720000</v>
      </c>
    </row>
    <row r="11" spans="1:2">
      <c r="A11" s="5" t="s">
        <v>44</v>
      </c>
      <c r="B11" s="3">
        <f t="shared" si="0"/>
        <v>720000</v>
      </c>
    </row>
    <row r="12" spans="1:2">
      <c r="A12" s="5" t="s">
        <v>45</v>
      </c>
      <c r="B12" s="3">
        <f t="shared" si="0"/>
        <v>720000</v>
      </c>
    </row>
    <row r="13" spans="1:2">
      <c r="A13" s="5" t="s">
        <v>46</v>
      </c>
      <c r="B13" s="3">
        <f t="shared" si="0"/>
        <v>720000</v>
      </c>
    </row>
    <row r="14" spans="1:2">
      <c r="A14" s="5" t="s">
        <v>47</v>
      </c>
      <c r="B14" s="3">
        <f t="shared" si="0"/>
        <v>720000</v>
      </c>
    </row>
    <row r="15" spans="1:2">
      <c r="A15" s="5" t="s">
        <v>48</v>
      </c>
      <c r="B15" s="3">
        <f t="shared" si="0"/>
        <v>720000</v>
      </c>
    </row>
    <row r="16" spans="1:2">
      <c r="A16" s="5" t="s">
        <v>49</v>
      </c>
      <c r="B16" s="3">
        <f t="shared" si="0"/>
        <v>720000</v>
      </c>
    </row>
    <row r="17" spans="1:4">
      <c r="A17" s="5" t="s">
        <v>50</v>
      </c>
      <c r="B17" s="3">
        <f t="shared" si="0"/>
        <v>720000</v>
      </c>
    </row>
    <row r="18" spans="1:4">
      <c r="A18" s="5" t="s">
        <v>51</v>
      </c>
      <c r="B18" s="3"/>
    </row>
    <row r="19" spans="1:4">
      <c r="A19" s="5" t="s">
        <v>52</v>
      </c>
      <c r="B19" s="3"/>
    </row>
    <row r="20" spans="1:4">
      <c r="A20" s="5" t="s">
        <v>53</v>
      </c>
      <c r="B20" s="3"/>
    </row>
    <row r="21" spans="1:4">
      <c r="A21" s="5" t="s">
        <v>54</v>
      </c>
      <c r="B21" s="3"/>
    </row>
    <row r="22" spans="1:4">
      <c r="A22" s="5" t="s">
        <v>55</v>
      </c>
      <c r="B22" s="3"/>
    </row>
    <row r="23" spans="1:4">
      <c r="A23" s="5" t="s">
        <v>56</v>
      </c>
      <c r="B23" s="5"/>
    </row>
    <row r="24" spans="1:4">
      <c r="A24" s="5" t="s">
        <v>57</v>
      </c>
      <c r="B24" s="5"/>
    </row>
    <row r="25" spans="1:4">
      <c r="A25" s="5" t="s">
        <v>58</v>
      </c>
      <c r="B25" s="5"/>
    </row>
    <row r="26" spans="1:4">
      <c r="A26" s="5" t="s">
        <v>59</v>
      </c>
      <c r="B26" s="5"/>
      <c r="D26" s="19"/>
    </row>
    <row r="27" spans="1:4">
      <c r="A27" s="5" t="s">
        <v>60</v>
      </c>
      <c r="B27" s="5"/>
      <c r="D27" s="19"/>
    </row>
    <row r="28" spans="1:4">
      <c r="C28">
        <f>C29*'Battery Specifications'!B33</f>
        <v>720000</v>
      </c>
      <c r="D28" s="19"/>
    </row>
    <row r="29" spans="1:4">
      <c r="B29" s="14"/>
      <c r="C29" s="19">
        <v>0.02</v>
      </c>
      <c r="D29" s="20"/>
    </row>
    <row r="30" spans="1:4">
      <c r="D30" s="19"/>
    </row>
    <row r="31" spans="1:4">
      <c r="D31" s="19"/>
    </row>
    <row r="32" spans="1:4">
      <c r="D3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 Specifications</vt:lpstr>
      <vt:lpstr>Degradation Curve</vt:lpstr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Mendes</cp:lastModifiedBy>
  <dcterms:created xsi:type="dcterms:W3CDTF">2026-02-19T10:43:27Z</dcterms:created>
  <dcterms:modified xsi:type="dcterms:W3CDTF">2026-04-21T21:20:15Z</dcterms:modified>
</cp:coreProperties>
</file>